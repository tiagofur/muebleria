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Resumen y Cotización" sheetId="1" state="visible" r:id="rId1"/>
    <sheet xmlns:r="http://schemas.openxmlformats.org/officeDocument/2006/relationships" name="📋 Explosión y Despiece" sheetId="2" state="visible" r:id="rId2"/>
    <sheet xmlns:r="http://schemas.openxmlformats.org/officeDocument/2006/relationships" name="⚙️ Configuración Co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0"/>
    <numFmt numFmtId="166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2F3542"/>
      <sz val="16"/>
    </font>
    <font>
      <name val="Arial"/>
      <b val="1"/>
      <color rgb="002F3542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2F3542"/>
      <sz val="10"/>
    </font>
    <font>
      <name val="Arial"/>
      <color rgb="0057606F"/>
      <sz val="9"/>
    </font>
    <font>
      <name val="Arial"/>
      <b val="1"/>
      <color rgb="002F3542"/>
      <sz val="14"/>
    </font>
    <font>
      <name val="Arial"/>
      <i val="1"/>
      <color rgb="0057606F"/>
      <sz val="9"/>
    </font>
  </fonts>
  <fills count="6">
    <fill>
      <patternFill/>
    </fill>
    <fill>
      <patternFill patternType="gray125"/>
    </fill>
    <fill>
      <patternFill patternType="solid">
        <fgColor rgb="002F3542"/>
        <bgColor rgb="002F3542"/>
      </patternFill>
    </fill>
    <fill>
      <patternFill patternType="solid">
        <fgColor rgb="00E4E7EB"/>
        <bgColor rgb="00E4E7EB"/>
      </patternFill>
    </fill>
    <fill>
      <patternFill patternType="solid">
        <fgColor rgb="00DFE4EA"/>
        <bgColor rgb="00DFE4EA"/>
      </patternFill>
    </fill>
    <fill>
      <patternFill patternType="solid">
        <fgColor rgb="00F8F9FA"/>
        <bgColor rgb="00F8F9FA"/>
      </patternFill>
    </fill>
  </fills>
  <borders count="4">
    <border>
      <left/>
      <right/>
      <top/>
      <bottom/>
      <diagonal/>
    </border>
    <border>
      <left style="thin">
        <color rgb="00CED6E0"/>
      </left>
      <right style="thin">
        <color rgb="00CED6E0"/>
      </right>
      <top style="thin">
        <color rgb="00CED6E0"/>
      </top>
      <bottom style="thin">
        <color rgb="00CED6E0"/>
      </bottom>
    </border>
    <border>
      <left style="thin">
        <color rgb="00CED6E0"/>
      </left>
      <right style="thin">
        <color rgb="00CED6E0"/>
      </right>
      <top style="thin">
        <color rgb="00CED6E0"/>
      </top>
      <bottom style="medium">
        <color rgb="002F3542"/>
      </bottom>
    </border>
    <border>
      <top style="thin">
        <color rgb="00CED6E0"/>
      </top>
      <bottom style="double">
        <color rgb="002F354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164" fontId="7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0" fontId="5" fillId="4" borderId="3" pivotButton="0" quotePrefix="0" xfId="0"/>
    <xf numFmtId="0" fontId="5" fillId="4" borderId="3" applyAlignment="1" pivotButton="0" quotePrefix="0" xfId="0">
      <alignment horizontal="right" vertical="center"/>
    </xf>
    <xf numFmtId="164" fontId="5" fillId="4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Costos Directos</a:t>
            </a:r>
          </a:p>
        </rich>
      </tx>
    </title>
    <plotArea>
      <pieChart>
        <varyColors val="1"/>
        <ser>
          <idx val="0"/>
          <order val="0"/>
          <tx>
            <strRef>
              <f>'📊 Resumen y Cotización'!B11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Resumen y Cotización'!$A$12:$A$14</f>
            </numRef>
          </cat>
          <val>
            <numRef>
              <f>'📊 Resumen y Cotización'!$B$12:$B$14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4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30" customHeight="1">
      <c r="A1" s="1" t="inlineStr">
        <is>
          <t>SISTEMA INTEGRAL DE COTIZACIÓN - RESUMEN GENERAL</t>
        </is>
      </c>
    </row>
    <row r="2"/>
    <row r="3">
      <c r="A3" s="2" t="inlineStr">
        <is>
          <t>Proyecto:</t>
        </is>
      </c>
      <c r="B3" s="3" t="inlineStr">
        <is>
          <t>Mobiliario Residencial Estándar</t>
        </is>
      </c>
      <c r="D3" s="2" t="inlineStr">
        <is>
          <t>Fecha:</t>
        </is>
      </c>
      <c r="E3" s="4">
        <f>TODAY()</f>
        <v/>
      </c>
    </row>
    <row r="4">
      <c r="A4" s="2" t="inlineStr">
        <is>
          <t>Cliente:</t>
        </is>
      </c>
      <c r="B4" s="3" t="inlineStr">
        <is>
          <t>Público General / Plantilla</t>
        </is>
      </c>
      <c r="D4" s="2" t="inlineStr">
        <is>
          <t>Moneda:</t>
        </is>
      </c>
      <c r="E4" s="3" t="inlineStr">
        <is>
          <t>MXN ($)</t>
        </is>
      </c>
    </row>
    <row r="5"/>
    <row r="6" ht="18" customHeight="1">
      <c r="A6" s="5" t="inlineStr">
        <is>
          <t>COSTO MATERIALES (TABLEROS)</t>
        </is>
      </c>
      <c r="B6" s="6" t="n"/>
      <c r="C6" s="5" t="inlineStr">
        <is>
          <t>COSTO HERRAJES Y ACCESORIOS</t>
        </is>
      </c>
      <c r="D6" s="6" t="n"/>
      <c r="E6" s="5" t="inlineStr">
        <is>
          <t>COSTO CINTILLAS / CANTOS</t>
        </is>
      </c>
      <c r="F6" s="6" t="n"/>
      <c r="G6" s="5" t="inlineStr">
        <is>
          <t>PRECIO FINAL SUGERIDO</t>
        </is>
      </c>
      <c r="H6" s="6" t="n"/>
    </row>
    <row r="7" ht="26" customHeight="1">
      <c r="A7" s="7">
        <f>SUMIF('📋 Explosión y Despiece'!E:E, "&lt;&gt;HERRAJE", '📋 Explosión y Despiece'!P4:P100)</f>
        <v/>
      </c>
      <c r="B7" s="6" t="n"/>
      <c r="C7" s="7">
        <f>SUMIF('📋 Explosión y Despiece'!E:E, "HERRAJE", '📋 Explosión y Despiece'!P4:P100)</f>
        <v/>
      </c>
      <c r="D7" s="6" t="n"/>
      <c r="E7" s="7">
        <f>SUM('📋 Explosión y Despiece'!R4:R100)</f>
        <v/>
      </c>
      <c r="F7" s="6" t="n"/>
      <c r="G7" s="7">
        <f>B18</f>
        <v/>
      </c>
      <c r="H7" s="6" t="n"/>
    </row>
    <row r="8"/>
    <row r="9"/>
    <row r="10">
      <c r="A10" s="8" t="inlineStr">
        <is>
          <t>Estructura Financiera de la Cotización</t>
        </is>
      </c>
    </row>
    <row r="11" ht="24" customHeight="1">
      <c r="A11" s="9" t="inlineStr">
        <is>
          <t>Concepto / Elemento de Costo</t>
        </is>
      </c>
      <c r="B11" s="9" t="inlineStr">
        <is>
          <t>Monto / Indicador</t>
        </is>
      </c>
      <c r="C11" s="9" t="inlineStr">
        <is>
          <t>Observaciones</t>
        </is>
      </c>
    </row>
    <row r="12" ht="20" customHeight="1">
      <c r="A12" s="10" t="inlineStr">
        <is>
          <t>(+) Costo Total de Materiales (Tableros)</t>
        </is>
      </c>
      <c r="B12" s="11">
        <f>A7</f>
        <v/>
      </c>
      <c r="C12" s="12" t="inlineStr">
        <is>
          <t>Costo directo calculado por M² utilizado</t>
        </is>
      </c>
    </row>
    <row r="13" ht="20" customHeight="1">
      <c r="A13" s="10" t="inlineStr">
        <is>
          <t>(+) Costo Total de Herrajes y Accesorios</t>
        </is>
      </c>
      <c r="B13" s="11">
        <f>C7</f>
        <v/>
      </c>
      <c r="C13" s="12" t="inlineStr">
        <is>
          <t>Costo directo por pieza o juego</t>
        </is>
      </c>
    </row>
    <row r="14" ht="20" customHeight="1">
      <c r="A14" s="10" t="inlineStr">
        <is>
          <t>(+) Costo Total de Cintillas (Cantos)</t>
        </is>
      </c>
      <c r="B14" s="11">
        <f>E7</f>
        <v/>
      </c>
      <c r="C14" s="12" t="inlineStr">
        <is>
          <t>Costo directo por metros lineales de pegado</t>
        </is>
      </c>
    </row>
    <row r="15" ht="20" customHeight="1">
      <c r="A15" s="13" t="inlineStr">
        <is>
          <t>(=) COSTO DIRECTO TOTAL</t>
        </is>
      </c>
      <c r="B15" s="14">
        <f>SUM(B12:B14)</f>
        <v/>
      </c>
      <c r="C15" s="15" t="inlineStr">
        <is>
          <t>Suma total de insumos requeridos</t>
        </is>
      </c>
    </row>
    <row r="16" ht="20" customHeight="1">
      <c r="A16" s="10" t="inlineStr">
        <is>
          <t>(×) Factor de Margen / Utilidad</t>
        </is>
      </c>
      <c r="B16" s="16" t="n">
        <v>1.35</v>
      </c>
      <c r="C16" s="12" t="inlineStr">
        <is>
          <t>Multiplicador de ganancia (35% de utilidad)</t>
        </is>
      </c>
    </row>
    <row r="17" ht="20" customHeight="1">
      <c r="A17" s="10" t="inlineStr">
        <is>
          <t>(+) Costo de Mano de Obra / Fijo</t>
        </is>
      </c>
      <c r="B17" s="11" t="n">
        <v>1200</v>
      </c>
      <c r="C17" s="12" t="inlineStr">
        <is>
          <t>Armado, instalación y gastos fijos de taller</t>
        </is>
      </c>
    </row>
    <row r="18" ht="20" customHeight="1">
      <c r="A18" s="13" t="inlineStr">
        <is>
          <t>(=) PRECIO DE VENTA FINAL</t>
        </is>
      </c>
      <c r="B18" s="14">
        <f>(B15*B16)+B17</f>
        <v/>
      </c>
      <c r="C18" s="15" t="inlineStr">
        <is>
          <t>Precio sugerido al cliente antes de IVA</t>
        </is>
      </c>
    </row>
  </sheetData>
  <mergeCells count="8">
    <mergeCell ref="E6:F6"/>
    <mergeCell ref="C6:D6"/>
    <mergeCell ref="C7:D7"/>
    <mergeCell ref="A7:B7"/>
    <mergeCell ref="G7:H7"/>
    <mergeCell ref="E7:F7"/>
    <mergeCell ref="G6:H6"/>
    <mergeCell ref="A6:B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32" customWidth="1" min="4" max="4"/>
    <col width="2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5" customWidth="1" min="11" max="11"/>
    <col width="18" customWidth="1" min="12" max="12"/>
    <col width="13" customWidth="1" min="13" max="13"/>
    <col width="13" customWidth="1" min="14" max="14"/>
    <col width="16" customWidth="1" min="15" max="15"/>
    <col width="16" customWidth="1" min="16" max="16"/>
    <col width="15" customWidth="1" min="17" max="17"/>
    <col width="16" customWidth="1" min="18" max="18"/>
    <col width="18" customWidth="1" min="19" max="19"/>
  </cols>
  <sheetData>
    <row r="1">
      <c r="A1" s="1" t="inlineStr">
        <is>
          <t>DETALLE DE EXPLOSIÓN, DESPIECE Y TRAZABILIDAD DE PRODUCCIÓN</t>
        </is>
      </c>
    </row>
    <row r="2"/>
    <row r="3" ht="28" customHeight="1">
      <c r="A3" s="17" t="inlineStr">
        <is>
          <t>Cantidad</t>
        </is>
      </c>
      <c r="B3" s="17" t="inlineStr">
        <is>
          <t>Largo (mm)</t>
        </is>
      </c>
      <c r="C3" s="17" t="inlineStr">
        <is>
          <t>Ancho (mm)</t>
        </is>
      </c>
      <c r="D3" s="17" t="inlineStr">
        <is>
          <t>Descripción de la Pieza / Módulo</t>
        </is>
      </c>
      <c r="E3" s="17" t="inlineStr">
        <is>
          <t>Materia Prima</t>
        </is>
      </c>
      <c r="F3" s="17" t="inlineStr">
        <is>
          <t>Veta</t>
        </is>
      </c>
      <c r="G3" s="17" t="inlineStr">
        <is>
          <t>Largo 1</t>
        </is>
      </c>
      <c r="H3" s="17" t="inlineStr">
        <is>
          <t>Largo 2</t>
        </is>
      </c>
      <c r="I3" s="17" t="inlineStr">
        <is>
          <t>Ancho 1</t>
        </is>
      </c>
      <c r="J3" s="17" t="inlineStr">
        <is>
          <t>Ancho 2</t>
        </is>
      </c>
      <c r="K3" s="17" t="inlineStr">
        <is>
          <t>ID Módulo</t>
        </is>
      </c>
      <c r="L3" s="17" t="inlineStr">
        <is>
          <t>ID Pieza Único</t>
        </is>
      </c>
      <c r="M3" s="17" t="inlineStr">
        <is>
          <t>M² Totales</t>
        </is>
      </c>
      <c r="N3" s="17" t="inlineStr">
        <is>
          <t>ML Cintilla</t>
        </is>
      </c>
      <c r="O3" s="17" t="inlineStr">
        <is>
          <t>Costo Unit. Mat/Herr</t>
        </is>
      </c>
      <c r="P3" s="17" t="inlineStr">
        <is>
          <t>Costo Tot. Mat/Herr</t>
        </is>
      </c>
      <c r="Q3" s="17" t="inlineStr">
        <is>
          <t>Costo Unit. Cintilla</t>
        </is>
      </c>
      <c r="R3" s="17" t="inlineStr">
        <is>
          <t>Costo Tot. Cintilla</t>
        </is>
      </c>
      <c r="S3" s="17" t="inlineStr">
        <is>
          <t>Costo Total Elemento</t>
        </is>
      </c>
    </row>
    <row r="4" ht="22" customHeight="1">
      <c r="A4" s="18" t="inlineStr">
        <is>
          <t>Gabinete 1 Puerta 300 x 720 x 590 mm   [Código Módulo: MOD-GAB-01]</t>
        </is>
      </c>
    </row>
    <row r="5" ht="20" customHeight="1">
      <c r="A5" s="19" t="n">
        <v>1</v>
      </c>
      <c r="B5" s="20" t="n">
        <v>720</v>
      </c>
      <c r="C5" s="20" t="n">
        <v>590</v>
      </c>
      <c r="D5" s="10" t="inlineStr">
        <is>
          <t>Costado Derecho</t>
        </is>
      </c>
      <c r="E5" s="19" t="inlineStr">
        <is>
          <t>ARAUCO BLANCO</t>
        </is>
      </c>
      <c r="F5" s="19" t="n">
        <v>0</v>
      </c>
      <c r="G5" s="19" t="n">
        <v>1</v>
      </c>
      <c r="H5" s="19" t="n">
        <v>1</v>
      </c>
      <c r="I5" s="19" t="n">
        <v>1</v>
      </c>
      <c r="J5" s="19" t="n">
        <v>1</v>
      </c>
      <c r="K5" s="21" t="inlineStr">
        <is>
          <t>MOD-GAB-01</t>
        </is>
      </c>
      <c r="L5" s="21" t="inlineStr">
        <is>
          <t>MOD-GAB-01-P01</t>
        </is>
      </c>
      <c r="M5" s="22">
        <f>IF(AND(ISNUMBER(B5), B5&gt;0), (A5*B5*C5)/1000000, 0)</f>
        <v/>
      </c>
      <c r="N5" s="16">
        <f>IF(AND(ISNUMBER(B5), B5&gt;0), A5*(((G5+H5)*B5 + (I5+J5)*C5)/1000), 0)</f>
        <v/>
      </c>
      <c r="O5" s="11">
        <f>IF(E5="HERRAJE", IFERROR(VLOOKUP(D5, '⚙️ Configuración Costos'!$A$13:$B$30, 2, FALSE), 0), IFERROR(VLOOKUP(E5, '⚙️ Configuración Costos'!$A$5:$B$10, 2, FALSE), 0))</f>
        <v/>
      </c>
      <c r="P5" s="11">
        <f>IF(E5="HERRAJE", A5*O5, M5*O5)</f>
        <v/>
      </c>
      <c r="Q5" s="11">
        <f>IF(E5="HERRAJE", 0, IFERROR(VLOOKUP(E5, '⚙️ Configuración Costos'!$E$5:$F$10, 2, FALSE), 0))</f>
        <v/>
      </c>
      <c r="R5" s="11">
        <f>N5*Q5</f>
        <v/>
      </c>
      <c r="S5" s="11">
        <f>P5+R5</f>
        <v/>
      </c>
    </row>
    <row r="6" ht="20" customHeight="1">
      <c r="A6" s="19" t="n">
        <v>1</v>
      </c>
      <c r="B6" s="20" t="n">
        <v>720</v>
      </c>
      <c r="C6" s="20" t="n">
        <v>590</v>
      </c>
      <c r="D6" s="10" t="inlineStr">
        <is>
          <t>Costado Izquierdo</t>
        </is>
      </c>
      <c r="E6" s="19" t="inlineStr">
        <is>
          <t>ARAUCO BLANCO</t>
        </is>
      </c>
      <c r="F6" s="19" t="n">
        <v>0</v>
      </c>
      <c r="G6" s="19" t="n">
        <v>1</v>
      </c>
      <c r="H6" s="19" t="n">
        <v>1</v>
      </c>
      <c r="I6" s="19" t="n">
        <v>1</v>
      </c>
      <c r="J6" s="19" t="n">
        <v>1</v>
      </c>
      <c r="K6" s="21" t="inlineStr">
        <is>
          <t>MOD-GAB-01</t>
        </is>
      </c>
      <c r="L6" s="21" t="inlineStr">
        <is>
          <t>MOD-GAB-01-P02</t>
        </is>
      </c>
      <c r="M6" s="22">
        <f>IF(AND(ISNUMBER(B6), B6&gt;0), (A6*B6*C6)/1000000, 0)</f>
        <v/>
      </c>
      <c r="N6" s="16">
        <f>IF(AND(ISNUMBER(B6), B6&gt;0), A6*(((G6+H6)*B6 + (I6+J6)*C6)/1000), 0)</f>
        <v/>
      </c>
      <c r="O6" s="11">
        <f>IF(E6="HERRAJE", IFERROR(VLOOKUP(D6, '⚙️ Configuración Costos'!$A$13:$B$30, 2, FALSE), 0), IFERROR(VLOOKUP(E6, '⚙️ Configuración Costos'!$A$5:$B$10, 2, FALSE), 0))</f>
        <v/>
      </c>
      <c r="P6" s="11">
        <f>IF(E6="HERRAJE", A6*O6, M6*O6)</f>
        <v/>
      </c>
      <c r="Q6" s="11">
        <f>IF(E6="HERRAJE", 0, IFERROR(VLOOKUP(E6, '⚙️ Configuración Costos'!$E$5:$F$10, 2, FALSE), 0))</f>
        <v/>
      </c>
      <c r="R6" s="11">
        <f>N6*Q6</f>
        <v/>
      </c>
      <c r="S6" s="11">
        <f>P6+R6</f>
        <v/>
      </c>
    </row>
    <row r="7" ht="20" customHeight="1">
      <c r="A7" s="19" t="n">
        <v>1</v>
      </c>
      <c r="B7" s="20" t="n">
        <v>689</v>
      </c>
      <c r="C7" s="20" t="n">
        <v>269</v>
      </c>
      <c r="D7" s="10" t="inlineStr">
        <is>
          <t>Respaldo Gabinete</t>
        </is>
      </c>
      <c r="E7" s="19" t="inlineStr">
        <is>
          <t>ARAUCO BLANCO</t>
        </is>
      </c>
      <c r="F7" s="19" t="n">
        <v>0</v>
      </c>
      <c r="G7" s="19" t="n">
        <v>0</v>
      </c>
      <c r="H7" s="19" t="n">
        <v>0</v>
      </c>
      <c r="I7" s="19" t="n">
        <v>0</v>
      </c>
      <c r="J7" s="19" t="n">
        <v>0</v>
      </c>
      <c r="K7" s="21" t="inlineStr">
        <is>
          <t>MOD-GAB-01</t>
        </is>
      </c>
      <c r="L7" s="21" t="inlineStr">
        <is>
          <t>MOD-GAB-01-P03</t>
        </is>
      </c>
      <c r="M7" s="22">
        <f>IF(AND(ISNUMBER(B7), B7&gt;0), (A7*B7*C7)/1000000, 0)</f>
        <v/>
      </c>
      <c r="N7" s="16">
        <f>IF(AND(ISNUMBER(B7), B7&gt;0), A7*(((G7+H7)*B7 + (I7+J7)*C7)/1000), 0)</f>
        <v/>
      </c>
      <c r="O7" s="11">
        <f>IF(E7="HERRAJE", IFERROR(VLOOKUP(D7, '⚙️ Configuración Costos'!$A$13:$B$30, 2, FALSE), 0), IFERROR(VLOOKUP(E7, '⚙️ Configuración Costos'!$A$5:$B$10, 2, FALSE), 0))</f>
        <v/>
      </c>
      <c r="P7" s="11">
        <f>IF(E7="HERRAJE", A7*O7, M7*O7)</f>
        <v/>
      </c>
      <c r="Q7" s="11">
        <f>IF(E7="HERRAJE", 0, IFERROR(VLOOKUP(E7, '⚙️ Configuración Costos'!$E$5:$F$10, 2, FALSE), 0))</f>
        <v/>
      </c>
      <c r="R7" s="11">
        <f>N7*Q7</f>
        <v/>
      </c>
      <c r="S7" s="11">
        <f>P7+R7</f>
        <v/>
      </c>
    </row>
    <row r="8" ht="20" customHeight="1">
      <c r="A8" s="19" t="n">
        <v>1</v>
      </c>
      <c r="B8" s="20" t="n">
        <v>590</v>
      </c>
      <c r="C8" s="20" t="n">
        <v>269</v>
      </c>
      <c r="D8" s="10" t="inlineStr">
        <is>
          <t>Piso Gabinete</t>
        </is>
      </c>
      <c r="E8" s="19" t="inlineStr">
        <is>
          <t>ARAUCO BLANCO</t>
        </is>
      </c>
      <c r="F8" s="19" t="n">
        <v>0</v>
      </c>
      <c r="G8" s="19" t="n">
        <v>0</v>
      </c>
      <c r="H8" s="19" t="n">
        <v>0</v>
      </c>
      <c r="I8" s="19" t="n">
        <v>1</v>
      </c>
      <c r="J8" s="19" t="n">
        <v>1</v>
      </c>
      <c r="K8" s="21" t="inlineStr">
        <is>
          <t>MOD-GAB-01</t>
        </is>
      </c>
      <c r="L8" s="21" t="inlineStr">
        <is>
          <t>MOD-GAB-01-P04</t>
        </is>
      </c>
      <c r="M8" s="22">
        <f>IF(AND(ISNUMBER(B8), B8&gt;0), (A8*B8*C8)/1000000, 0)</f>
        <v/>
      </c>
      <c r="N8" s="16">
        <f>IF(AND(ISNUMBER(B8), B8&gt;0), A8*(((G8+H8)*B8 + (I8+J8)*C8)/1000), 0)</f>
        <v/>
      </c>
      <c r="O8" s="11">
        <f>IF(E8="HERRAJE", IFERROR(VLOOKUP(D8, '⚙️ Configuración Costos'!$A$13:$B$30, 2, FALSE), 0), IFERROR(VLOOKUP(E8, '⚙️ Configuración Costos'!$A$5:$B$10, 2, FALSE), 0))</f>
        <v/>
      </c>
      <c r="P8" s="11">
        <f>IF(E8="HERRAJE", A8*O8, M8*O8)</f>
        <v/>
      </c>
      <c r="Q8" s="11">
        <f>IF(E8="HERRAJE", 0, IFERROR(VLOOKUP(E8, '⚙️ Configuración Costos'!$E$5:$F$10, 2, FALSE), 0))</f>
        <v/>
      </c>
      <c r="R8" s="11">
        <f>N8*Q8</f>
        <v/>
      </c>
      <c r="S8" s="11">
        <f>P8+R8</f>
        <v/>
      </c>
    </row>
    <row r="9" ht="20" customHeight="1">
      <c r="A9" s="19" t="n">
        <v>1</v>
      </c>
      <c r="B9" s="20" t="n">
        <v>520</v>
      </c>
      <c r="C9" s="20" t="n">
        <v>269</v>
      </c>
      <c r="D9" s="10" t="inlineStr">
        <is>
          <t>Entrepano Gabinete</t>
        </is>
      </c>
      <c r="E9" s="19" t="inlineStr">
        <is>
          <t>ARAUCO BLANCO</t>
        </is>
      </c>
      <c r="F9" s="19" t="n">
        <v>0</v>
      </c>
      <c r="G9" s="19" t="n">
        <v>0</v>
      </c>
      <c r="H9" s="19" t="n">
        <v>0</v>
      </c>
      <c r="I9" s="19" t="n">
        <v>0</v>
      </c>
      <c r="J9" s="19" t="n">
        <v>1</v>
      </c>
      <c r="K9" s="21" t="inlineStr">
        <is>
          <t>MOD-GAB-01</t>
        </is>
      </c>
      <c r="L9" s="21" t="inlineStr">
        <is>
          <t>MOD-GAB-01-P05</t>
        </is>
      </c>
      <c r="M9" s="22">
        <f>IF(AND(ISNUMBER(B9), B9&gt;0), (A9*B9*C9)/1000000, 0)</f>
        <v/>
      </c>
      <c r="N9" s="16">
        <f>IF(AND(ISNUMBER(B9), B9&gt;0), A9*(((G9+H9)*B9 + (I9+J9)*C9)/1000), 0)</f>
        <v/>
      </c>
      <c r="O9" s="11">
        <f>IF(E9="HERRAJE", IFERROR(VLOOKUP(D9, '⚙️ Configuración Costos'!$A$13:$B$30, 2, FALSE), 0), IFERROR(VLOOKUP(E9, '⚙️ Configuración Costos'!$A$5:$B$10, 2, FALSE), 0))</f>
        <v/>
      </c>
      <c r="P9" s="11">
        <f>IF(E9="HERRAJE", A9*O9, M9*O9)</f>
        <v/>
      </c>
      <c r="Q9" s="11">
        <f>IF(E9="HERRAJE", 0, IFERROR(VLOOKUP(E9, '⚙️ Configuración Costos'!$E$5:$F$10, 2, FALSE), 0))</f>
        <v/>
      </c>
      <c r="R9" s="11">
        <f>N9*Q9</f>
        <v/>
      </c>
      <c r="S9" s="11">
        <f>P9+R9</f>
        <v/>
      </c>
    </row>
    <row r="10" ht="20" customHeight="1">
      <c r="A10" s="19" t="n">
        <v>1</v>
      </c>
      <c r="B10" s="20" t="n">
        <v>269</v>
      </c>
      <c r="C10" s="20" t="n">
        <v>120</v>
      </c>
      <c r="D10" s="10" t="inlineStr">
        <is>
          <t>Manguete Frontal</t>
        </is>
      </c>
      <c r="E10" s="19" t="inlineStr">
        <is>
          <t>ARAUCO BLANCO</t>
        </is>
      </c>
      <c r="F10" s="19" t="n">
        <v>0</v>
      </c>
      <c r="G10" s="19" t="n">
        <v>1</v>
      </c>
      <c r="H10" s="19" t="n">
        <v>1</v>
      </c>
      <c r="I10" s="19" t="n">
        <v>0</v>
      </c>
      <c r="J10" s="19" t="n">
        <v>0</v>
      </c>
      <c r="K10" s="21" t="inlineStr">
        <is>
          <t>MOD-GAB-01</t>
        </is>
      </c>
      <c r="L10" s="21" t="inlineStr">
        <is>
          <t>MOD-GAB-01-P06</t>
        </is>
      </c>
      <c r="M10" s="22">
        <f>IF(AND(ISNUMBER(B10), B10&gt;0), (A10*B10*C10)/1000000, 0)</f>
        <v/>
      </c>
      <c r="N10" s="16">
        <f>IF(AND(ISNUMBER(B10), B10&gt;0), A10*(((G10+H10)*B10 + (I10+J10)*C10)/1000), 0)</f>
        <v/>
      </c>
      <c r="O10" s="11">
        <f>IF(E10="HERRAJE", IFERROR(VLOOKUP(D10, '⚙️ Configuración Costos'!$A$13:$B$30, 2, FALSE), 0), IFERROR(VLOOKUP(E10, '⚙️ Configuración Costos'!$A$5:$B$10, 2, FALSE), 0))</f>
        <v/>
      </c>
      <c r="P10" s="11">
        <f>IF(E10="HERRAJE", A10*O10, M10*O10)</f>
        <v/>
      </c>
      <c r="Q10" s="11">
        <f>IF(E10="HERRAJE", 0, IFERROR(VLOOKUP(E10, '⚙️ Configuración Costos'!$E$5:$F$10, 2, FALSE), 0))</f>
        <v/>
      </c>
      <c r="R10" s="11">
        <f>N10*Q10</f>
        <v/>
      </c>
      <c r="S10" s="11">
        <f>P10+R10</f>
        <v/>
      </c>
    </row>
    <row r="11" ht="20" customHeight="1">
      <c r="A11" s="19" t="n">
        <v>1</v>
      </c>
      <c r="B11" s="20" t="n">
        <v>269</v>
      </c>
      <c r="C11" s="20" t="n">
        <v>120</v>
      </c>
      <c r="D11" s="10" t="inlineStr">
        <is>
          <t>Manguete Posterior</t>
        </is>
      </c>
      <c r="E11" s="19" t="inlineStr">
        <is>
          <t>ARAUCO BLANCO</t>
        </is>
      </c>
      <c r="F11" s="19" t="n">
        <v>0</v>
      </c>
      <c r="G11" s="19" t="n">
        <v>1</v>
      </c>
      <c r="H11" s="19" t="n">
        <v>1</v>
      </c>
      <c r="I11" s="19" t="n">
        <v>0</v>
      </c>
      <c r="J11" s="19" t="n">
        <v>0</v>
      </c>
      <c r="K11" s="21" t="inlineStr">
        <is>
          <t>MOD-GAB-01</t>
        </is>
      </c>
      <c r="L11" s="21" t="inlineStr">
        <is>
          <t>MOD-GAB-01-P07</t>
        </is>
      </c>
      <c r="M11" s="22">
        <f>IF(AND(ISNUMBER(B11), B11&gt;0), (A11*B11*C11)/1000000, 0)</f>
        <v/>
      </c>
      <c r="N11" s="16">
        <f>IF(AND(ISNUMBER(B11), B11&gt;0), A11*(((G11+H11)*B11 + (I11+J11)*C11)/1000), 0)</f>
        <v/>
      </c>
      <c r="O11" s="11">
        <f>IF(E11="HERRAJE", IFERROR(VLOOKUP(D11, '⚙️ Configuración Costos'!$A$13:$B$30, 2, FALSE), 0), IFERROR(VLOOKUP(E11, '⚙️ Configuración Costos'!$A$5:$B$10, 2, FALSE), 0))</f>
        <v/>
      </c>
      <c r="P11" s="11">
        <f>IF(E11="HERRAJE", A11*O11, M11*O11)</f>
        <v/>
      </c>
      <c r="Q11" s="11">
        <f>IF(E11="HERRAJE", 0, IFERROR(VLOOKUP(E11, '⚙️ Configuración Costos'!$E$5:$F$10, 2, FALSE), 0))</f>
        <v/>
      </c>
      <c r="R11" s="11">
        <f>N11*Q11</f>
        <v/>
      </c>
      <c r="S11" s="11">
        <f>P11+R11</f>
        <v/>
      </c>
    </row>
    <row r="12" ht="20" customHeight="1">
      <c r="A12" s="19" t="n">
        <v>1</v>
      </c>
      <c r="B12" s="20" t="n">
        <v>717</v>
      </c>
      <c r="C12" s="20" t="n">
        <v>296</v>
      </c>
      <c r="D12" s="10" t="inlineStr">
        <is>
          <t>Puerta Gabinete</t>
        </is>
      </c>
      <c r="E12" s="19" t="inlineStr">
        <is>
          <t>MADERADO FRENTE</t>
        </is>
      </c>
      <c r="F12" s="19" t="n">
        <v>1</v>
      </c>
      <c r="G12" s="19" t="n">
        <v>1</v>
      </c>
      <c r="H12" s="19" t="n">
        <v>1</v>
      </c>
      <c r="I12" s="19" t="n">
        <v>1</v>
      </c>
      <c r="J12" s="19" t="n">
        <v>1</v>
      </c>
      <c r="K12" s="21" t="inlineStr">
        <is>
          <t>MOD-GAB-01</t>
        </is>
      </c>
      <c r="L12" s="21" t="inlineStr">
        <is>
          <t>MOD-GAB-01-P08</t>
        </is>
      </c>
      <c r="M12" s="22">
        <f>IF(AND(ISNUMBER(B12), B12&gt;0), (A12*B12*C12)/1000000, 0)</f>
        <v/>
      </c>
      <c r="N12" s="16">
        <f>IF(AND(ISNUMBER(B12), B12&gt;0), A12*(((G12+H12)*B12 + (I12+J12)*C12)/1000), 0)</f>
        <v/>
      </c>
      <c r="O12" s="11">
        <f>IF(E12="HERRAJE", IFERROR(VLOOKUP(D12, '⚙️ Configuración Costos'!$A$13:$B$30, 2, FALSE), 0), IFERROR(VLOOKUP(E12, '⚙️ Configuración Costos'!$A$5:$B$10, 2, FALSE), 0))</f>
        <v/>
      </c>
      <c r="P12" s="11">
        <f>IF(E12="HERRAJE", A12*O12, M12*O12)</f>
        <v/>
      </c>
      <c r="Q12" s="11">
        <f>IF(E12="HERRAJE", 0, IFERROR(VLOOKUP(E12, '⚙️ Configuración Costos'!$E$5:$F$10, 2, FALSE), 0))</f>
        <v/>
      </c>
      <c r="R12" s="11">
        <f>N12*Q12</f>
        <v/>
      </c>
      <c r="S12" s="11">
        <f>P12+R12</f>
        <v/>
      </c>
    </row>
    <row r="13" ht="20" customHeight="1">
      <c r="A13" s="19" t="n">
        <v>2</v>
      </c>
      <c r="B13" s="20" t="n">
        <v>0</v>
      </c>
      <c r="C13" s="20" t="n">
        <v>0</v>
      </c>
      <c r="D13" s="10" t="inlineStr">
        <is>
          <t>Bisagra Cierre Lento</t>
        </is>
      </c>
      <c r="E13" s="19" t="inlineStr">
        <is>
          <t>HERRAJE</t>
        </is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  <c r="K13" s="21" t="inlineStr">
        <is>
          <t>MOD-GAB-01</t>
        </is>
      </c>
      <c r="L13" s="21" t="inlineStr">
        <is>
          <t>MOD-GAB-01-H01</t>
        </is>
      </c>
      <c r="M13" s="22">
        <f>IF(AND(ISNUMBER(B13), B13&gt;0), (A13*B13*C13)/1000000, 0)</f>
        <v/>
      </c>
      <c r="N13" s="16">
        <f>IF(AND(ISNUMBER(B13), B13&gt;0), A13*(((G13+H13)*B13 + (I13+J13)*C13)/1000), 0)</f>
        <v/>
      </c>
      <c r="O13" s="11">
        <f>IF(E13="HERRAJE", IFERROR(VLOOKUP(D13, '⚙️ Configuración Costos'!$A$13:$B$30, 2, FALSE), 0), IFERROR(VLOOKUP(E13, '⚙️ Configuración Costos'!$A$5:$B$10, 2, FALSE), 0))</f>
        <v/>
      </c>
      <c r="P13" s="11">
        <f>IF(E13="HERRAJE", A13*O13, M13*O13)</f>
        <v/>
      </c>
      <c r="Q13" s="11">
        <f>IF(E13="HERRAJE", 0, IFERROR(VLOOKUP(E13, '⚙️ Configuración Costos'!$E$5:$F$10, 2, FALSE), 0))</f>
        <v/>
      </c>
      <c r="R13" s="11">
        <f>N13*Q13</f>
        <v/>
      </c>
      <c r="S13" s="11">
        <f>P13+R13</f>
        <v/>
      </c>
    </row>
    <row r="14" ht="20" customHeight="1">
      <c r="A14" s="19" t="n">
        <v>1</v>
      </c>
      <c r="B14" s="20" t="n">
        <v>0</v>
      </c>
      <c r="C14" s="20" t="n">
        <v>0</v>
      </c>
      <c r="D14" s="10" t="inlineStr">
        <is>
          <t>Jaladera Acero Inox</t>
        </is>
      </c>
      <c r="E14" s="19" t="inlineStr">
        <is>
          <t>HERRAJE</t>
        </is>
      </c>
      <c r="F14" s="19" t="n">
        <v>0</v>
      </c>
      <c r="G14" s="19" t="n">
        <v>0</v>
      </c>
      <c r="H14" s="19" t="n">
        <v>0</v>
      </c>
      <c r="I14" s="19" t="n">
        <v>0</v>
      </c>
      <c r="J14" s="19" t="n">
        <v>0</v>
      </c>
      <c r="K14" s="21" t="inlineStr">
        <is>
          <t>MOD-GAB-01</t>
        </is>
      </c>
      <c r="L14" s="21" t="inlineStr">
        <is>
          <t>MOD-GAB-01-H02</t>
        </is>
      </c>
      <c r="M14" s="22">
        <f>IF(AND(ISNUMBER(B14), B14&gt;0), (A14*B14*C14)/1000000, 0)</f>
        <v/>
      </c>
      <c r="N14" s="16">
        <f>IF(AND(ISNUMBER(B14), B14&gt;0), A14*(((G14+H14)*B14 + (I14+J14)*C14)/1000), 0)</f>
        <v/>
      </c>
      <c r="O14" s="11">
        <f>IF(E14="HERRAJE", IFERROR(VLOOKUP(D14, '⚙️ Configuración Costos'!$A$13:$B$30, 2, FALSE), 0), IFERROR(VLOOKUP(E14, '⚙️ Configuración Costos'!$A$5:$B$10, 2, FALSE), 0))</f>
        <v/>
      </c>
      <c r="P14" s="11">
        <f>IF(E14="HERRAJE", A14*O14, M14*O14)</f>
        <v/>
      </c>
      <c r="Q14" s="11">
        <f>IF(E14="HERRAJE", 0, IFERROR(VLOOKUP(E14, '⚙️ Configuración Costos'!$E$5:$F$10, 2, FALSE), 0))</f>
        <v/>
      </c>
      <c r="R14" s="11">
        <f>N14*Q14</f>
        <v/>
      </c>
      <c r="S14" s="11">
        <f>P14+R14</f>
        <v/>
      </c>
    </row>
    <row r="15" ht="20" customHeight="1">
      <c r="A15" s="19" t="n">
        <v>4</v>
      </c>
      <c r="B15" s="20" t="n">
        <v>0</v>
      </c>
      <c r="C15" s="20" t="n">
        <v>0</v>
      </c>
      <c r="D15" s="10" t="inlineStr">
        <is>
          <t>Pata Regulable Plastica</t>
        </is>
      </c>
      <c r="E15" s="19" t="inlineStr">
        <is>
          <t>HERRAJE</t>
        </is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21" t="inlineStr">
        <is>
          <t>MOD-GAB-01</t>
        </is>
      </c>
      <c r="L15" s="21" t="inlineStr">
        <is>
          <t>MOD-GAB-01-H03</t>
        </is>
      </c>
      <c r="M15" s="22">
        <f>IF(AND(ISNUMBER(B15), B15&gt;0), (A15*B15*C15)/1000000, 0)</f>
        <v/>
      </c>
      <c r="N15" s="16">
        <f>IF(AND(ISNUMBER(B15), B15&gt;0), A15*(((G15+H15)*B15 + (I15+J15)*C15)/1000), 0)</f>
        <v/>
      </c>
      <c r="O15" s="11">
        <f>IF(E15="HERRAJE", IFERROR(VLOOKUP(D15, '⚙️ Configuración Costos'!$A$13:$B$30, 2, FALSE), 0), IFERROR(VLOOKUP(E15, '⚙️ Configuración Costos'!$A$5:$B$10, 2, FALSE), 0))</f>
        <v/>
      </c>
      <c r="P15" s="11">
        <f>IF(E15="HERRAJE", A15*O15, M15*O15)</f>
        <v/>
      </c>
      <c r="Q15" s="11">
        <f>IF(E15="HERRAJE", 0, IFERROR(VLOOKUP(E15, '⚙️ Configuración Costos'!$E$5:$F$10, 2, FALSE), 0))</f>
        <v/>
      </c>
      <c r="R15" s="11">
        <f>N15*Q15</f>
        <v/>
      </c>
      <c r="S15" s="11">
        <f>P15+R15</f>
        <v/>
      </c>
    </row>
    <row r="16" ht="20" customHeight="1">
      <c r="A16" s="19" t="n">
        <v>40</v>
      </c>
      <c r="B16" s="20" t="n">
        <v>0</v>
      </c>
      <c r="C16" s="20" t="n">
        <v>0</v>
      </c>
      <c r="D16" s="10" t="inlineStr">
        <is>
          <t>Tornillo 4x50 mm</t>
        </is>
      </c>
      <c r="E16" s="19" t="inlineStr">
        <is>
          <t>HERRAJE</t>
        </is>
      </c>
      <c r="F16" s="19" t="n">
        <v>0</v>
      </c>
      <c r="G16" s="19" t="n">
        <v>0</v>
      </c>
      <c r="H16" s="19" t="n">
        <v>0</v>
      </c>
      <c r="I16" s="19" t="n">
        <v>0</v>
      </c>
      <c r="J16" s="19" t="n">
        <v>0</v>
      </c>
      <c r="K16" s="21" t="inlineStr">
        <is>
          <t>MOD-GAB-01</t>
        </is>
      </c>
      <c r="L16" s="21" t="inlineStr">
        <is>
          <t>MOD-GAB-01-H04</t>
        </is>
      </c>
      <c r="M16" s="22">
        <f>IF(AND(ISNUMBER(B16), B16&gt;0), (A16*B16*C16)/1000000, 0)</f>
        <v/>
      </c>
      <c r="N16" s="16">
        <f>IF(AND(ISNUMBER(B16), B16&gt;0), A16*(((G16+H16)*B16 + (I16+J16)*C16)/1000), 0)</f>
        <v/>
      </c>
      <c r="O16" s="11">
        <f>IF(E16="HERRAJE", IFERROR(VLOOKUP(D16, '⚙️ Configuración Costos'!$A$13:$B$30, 2, FALSE), 0), IFERROR(VLOOKUP(E16, '⚙️ Configuración Costos'!$A$5:$B$10, 2, FALSE), 0))</f>
        <v/>
      </c>
      <c r="P16" s="11">
        <f>IF(E16="HERRAJE", A16*O16, M16*O16)</f>
        <v/>
      </c>
      <c r="Q16" s="11">
        <f>IF(E16="HERRAJE", 0, IFERROR(VLOOKUP(E16, '⚙️ Configuración Costos'!$E$5:$F$10, 2, FALSE), 0))</f>
        <v/>
      </c>
      <c r="R16" s="11">
        <f>N16*Q16</f>
        <v/>
      </c>
      <c r="S16" s="11">
        <f>P16+R16</f>
        <v/>
      </c>
    </row>
    <row r="17" ht="20" customHeight="1">
      <c r="A17" s="19" t="n">
        <v>4</v>
      </c>
      <c r="B17" s="20" t="n">
        <v>0</v>
      </c>
      <c r="C17" s="20" t="n">
        <v>0</v>
      </c>
      <c r="D17" s="10" t="inlineStr">
        <is>
          <t>Soporte de Entrepaño</t>
        </is>
      </c>
      <c r="E17" s="19" t="inlineStr">
        <is>
          <t>HERRAJE</t>
        </is>
      </c>
      <c r="F17" s="19" t="n">
        <v>0</v>
      </c>
      <c r="G17" s="19" t="n">
        <v>0</v>
      </c>
      <c r="H17" s="19" t="n">
        <v>0</v>
      </c>
      <c r="I17" s="19" t="n">
        <v>0</v>
      </c>
      <c r="J17" s="19" t="n">
        <v>0</v>
      </c>
      <c r="K17" s="21" t="inlineStr">
        <is>
          <t>MOD-GAB-01</t>
        </is>
      </c>
      <c r="L17" s="21" t="inlineStr">
        <is>
          <t>MOD-GAB-01-H05</t>
        </is>
      </c>
      <c r="M17" s="22">
        <f>IF(AND(ISNUMBER(B17), B17&gt;0), (A17*B17*C17)/1000000, 0)</f>
        <v/>
      </c>
      <c r="N17" s="16">
        <f>IF(AND(ISNUMBER(B17), B17&gt;0), A17*(((G17+H17)*B17 + (I17+J17)*C17)/1000), 0)</f>
        <v/>
      </c>
      <c r="O17" s="11">
        <f>IF(E17="HERRAJE", IFERROR(VLOOKUP(D17, '⚙️ Configuración Costos'!$A$13:$B$30, 2, FALSE), 0), IFERROR(VLOOKUP(E17, '⚙️ Configuración Costos'!$A$5:$B$10, 2, FALSE), 0))</f>
        <v/>
      </c>
      <c r="P17" s="11">
        <f>IF(E17="HERRAJE", A17*O17, M17*O17)</f>
        <v/>
      </c>
      <c r="Q17" s="11">
        <f>IF(E17="HERRAJE", 0, IFERROR(VLOOKUP(E17, '⚙️ Configuración Costos'!$E$5:$F$10, 2, FALSE), 0))</f>
        <v/>
      </c>
      <c r="R17" s="11">
        <f>N17*Q17</f>
        <v/>
      </c>
      <c r="S17" s="11">
        <f>P17+R17</f>
        <v/>
      </c>
    </row>
    <row r="18" ht="22" customHeight="1">
      <c r="A18" s="18" t="inlineStr">
        <is>
          <t>Cajonera 4 Cajones 500 x 720 x 590 mm   [Código Módulo: MOD-CAJ-01]</t>
        </is>
      </c>
    </row>
    <row r="19" ht="20" customHeight="1">
      <c r="A19" s="19" t="n">
        <v>1</v>
      </c>
      <c r="B19" s="20" t="n">
        <v>720</v>
      </c>
      <c r="C19" s="20" t="n">
        <v>590</v>
      </c>
      <c r="D19" s="10" t="inlineStr">
        <is>
          <t>Costado Derecho</t>
        </is>
      </c>
      <c r="E19" s="19" t="inlineStr">
        <is>
          <t>ARAUCO BLANCO</t>
        </is>
      </c>
      <c r="F19" s="19" t="n">
        <v>0</v>
      </c>
      <c r="G19" s="19" t="n">
        <v>1</v>
      </c>
      <c r="H19" s="19" t="n">
        <v>1</v>
      </c>
      <c r="I19" s="19" t="n">
        <v>1</v>
      </c>
      <c r="J19" s="19" t="n">
        <v>1</v>
      </c>
      <c r="K19" s="21" t="inlineStr">
        <is>
          <t>MOD-CAJ-01</t>
        </is>
      </c>
      <c r="L19" s="21" t="inlineStr">
        <is>
          <t>MOD-CAJ-01-P01</t>
        </is>
      </c>
      <c r="M19" s="22">
        <f>IF(AND(ISNUMBER(B19), B19&gt;0), (A19*B19*C19)/1000000, 0)</f>
        <v/>
      </c>
      <c r="N19" s="16">
        <f>IF(AND(ISNUMBER(B19), B19&gt;0), A19*(((G19+H19)*B19 + (I19+J19)*C19)/1000), 0)</f>
        <v/>
      </c>
      <c r="O19" s="11">
        <f>IF(E19="HERRAJE", IFERROR(VLOOKUP(D19, '⚙️ Configuración Costos'!$A$13:$B$30, 2, FALSE), 0), IFERROR(VLOOKUP(E19, '⚙️ Configuración Costos'!$A$5:$B$10, 2, FALSE), 0))</f>
        <v/>
      </c>
      <c r="P19" s="11">
        <f>IF(E19="HERRAJE", A19*O19, M19*O19)</f>
        <v/>
      </c>
      <c r="Q19" s="11">
        <f>IF(E19="HERRAJE", 0, IFERROR(VLOOKUP(E19, '⚙️ Configuración Costos'!$E$5:$F$10, 2, FALSE), 0))</f>
        <v/>
      </c>
      <c r="R19" s="11">
        <f>N19*Q19</f>
        <v/>
      </c>
      <c r="S19" s="11">
        <f>P19+R19</f>
        <v/>
      </c>
    </row>
    <row r="20" ht="20" customHeight="1">
      <c r="A20" s="19" t="n">
        <v>1</v>
      </c>
      <c r="B20" s="20" t="n">
        <v>720</v>
      </c>
      <c r="C20" s="20" t="n">
        <v>590</v>
      </c>
      <c r="D20" s="10" t="inlineStr">
        <is>
          <t>Costado Izquierdo</t>
        </is>
      </c>
      <c r="E20" s="19" t="inlineStr">
        <is>
          <t>ARAUCO BLANCO</t>
        </is>
      </c>
      <c r="F20" s="19" t="n">
        <v>0</v>
      </c>
      <c r="G20" s="19" t="n">
        <v>1</v>
      </c>
      <c r="H20" s="19" t="n">
        <v>1</v>
      </c>
      <c r="I20" s="19" t="n">
        <v>1</v>
      </c>
      <c r="J20" s="19" t="n">
        <v>1</v>
      </c>
      <c r="K20" s="21" t="inlineStr">
        <is>
          <t>MOD-CAJ-01</t>
        </is>
      </c>
      <c r="L20" s="21" t="inlineStr">
        <is>
          <t>MOD-CAJ-01-P02</t>
        </is>
      </c>
      <c r="M20" s="22">
        <f>IF(AND(ISNUMBER(B20), B20&gt;0), (A20*B20*C20)/1000000, 0)</f>
        <v/>
      </c>
      <c r="N20" s="16">
        <f>IF(AND(ISNUMBER(B20), B20&gt;0), A20*(((G20+H20)*B20 + (I20+J20)*C20)/1000), 0)</f>
        <v/>
      </c>
      <c r="O20" s="11">
        <f>IF(E20="HERRAJE", IFERROR(VLOOKUP(D20, '⚙️ Configuración Costos'!$A$13:$B$30, 2, FALSE), 0), IFERROR(VLOOKUP(E20, '⚙️ Configuración Costos'!$A$5:$B$10, 2, FALSE), 0))</f>
        <v/>
      </c>
      <c r="P20" s="11">
        <f>IF(E20="HERRAJE", A20*O20, M20*O20)</f>
        <v/>
      </c>
      <c r="Q20" s="11">
        <f>IF(E20="HERRAJE", 0, IFERROR(VLOOKUP(E20, '⚙️ Configuración Costos'!$E$5:$F$10, 2, FALSE), 0))</f>
        <v/>
      </c>
      <c r="R20" s="11">
        <f>N20*Q20</f>
        <v/>
      </c>
      <c r="S20" s="11">
        <f>P20+R20</f>
        <v/>
      </c>
    </row>
    <row r="21" ht="20" customHeight="1">
      <c r="A21" s="19" t="n">
        <v>1</v>
      </c>
      <c r="B21" s="20" t="n">
        <v>590</v>
      </c>
      <c r="C21" s="20" t="n">
        <v>469</v>
      </c>
      <c r="D21" s="10" t="inlineStr">
        <is>
          <t>Piso Gabinete</t>
        </is>
      </c>
      <c r="E21" s="19" t="inlineStr">
        <is>
          <t>ARAUCO BLANCO</t>
        </is>
      </c>
      <c r="F21" s="19" t="n">
        <v>0</v>
      </c>
      <c r="G21" s="19" t="n">
        <v>0</v>
      </c>
      <c r="H21" s="19" t="n">
        <v>0</v>
      </c>
      <c r="I21" s="19" t="n">
        <v>1</v>
      </c>
      <c r="J21" s="19" t="n">
        <v>1</v>
      </c>
      <c r="K21" s="21" t="inlineStr">
        <is>
          <t>MOD-CAJ-01</t>
        </is>
      </c>
      <c r="L21" s="21" t="inlineStr">
        <is>
          <t>MOD-CAJ-01-P03</t>
        </is>
      </c>
      <c r="M21" s="22">
        <f>IF(AND(ISNUMBER(B21), B21&gt;0), (A21*B21*C21)/1000000, 0)</f>
        <v/>
      </c>
      <c r="N21" s="16">
        <f>IF(AND(ISNUMBER(B21), B21&gt;0), A21*(((G21+H21)*B21 + (I21+J21)*C21)/1000), 0)</f>
        <v/>
      </c>
      <c r="O21" s="11">
        <f>IF(E21="HERRAJE", IFERROR(VLOOKUP(D21, '⚙️ Configuración Costos'!$A$13:$B$30, 2, FALSE), 0), IFERROR(VLOOKUP(E21, '⚙️ Configuración Costos'!$A$5:$B$10, 2, FALSE), 0))</f>
        <v/>
      </c>
      <c r="P21" s="11">
        <f>IF(E21="HERRAJE", A21*O21, M21*O21)</f>
        <v/>
      </c>
      <c r="Q21" s="11">
        <f>IF(E21="HERRAJE", 0, IFERROR(VLOOKUP(E21, '⚙️ Configuración Costos'!$E$5:$F$10, 2, FALSE), 0))</f>
        <v/>
      </c>
      <c r="R21" s="11">
        <f>N21*Q21</f>
        <v/>
      </c>
      <c r="S21" s="11">
        <f>P21+R21</f>
        <v/>
      </c>
    </row>
    <row r="22" ht="20" customHeight="1">
      <c r="A22" s="19" t="n">
        <v>1</v>
      </c>
      <c r="B22" s="20" t="n">
        <v>689</v>
      </c>
      <c r="C22" s="20" t="n">
        <v>469</v>
      </c>
      <c r="D22" s="10" t="inlineStr">
        <is>
          <t>Respaldo Gabinete</t>
        </is>
      </c>
      <c r="E22" s="19" t="inlineStr">
        <is>
          <t>ARAUCO BLANCO</t>
        </is>
      </c>
      <c r="F22" s="19" t="n">
        <v>0</v>
      </c>
      <c r="G22" s="19" t="n">
        <v>0</v>
      </c>
      <c r="H22" s="19" t="n">
        <v>0</v>
      </c>
      <c r="I22" s="19" t="n">
        <v>0</v>
      </c>
      <c r="J22" s="19" t="n">
        <v>0</v>
      </c>
      <c r="K22" s="21" t="inlineStr">
        <is>
          <t>MOD-CAJ-01</t>
        </is>
      </c>
      <c r="L22" s="21" t="inlineStr">
        <is>
          <t>MOD-CAJ-01-P04</t>
        </is>
      </c>
      <c r="M22" s="22">
        <f>IF(AND(ISNUMBER(B22), B22&gt;0), (A22*B22*C22)/1000000, 0)</f>
        <v/>
      </c>
      <c r="N22" s="16">
        <f>IF(AND(ISNUMBER(B22), B22&gt;0), A22*(((G22+H22)*B22 + (I22+J22)*C22)/1000), 0)</f>
        <v/>
      </c>
      <c r="O22" s="11">
        <f>IF(E22="HERRAJE", IFERROR(VLOOKUP(D22, '⚙️ Configuración Costos'!$A$13:$B$30, 2, FALSE), 0), IFERROR(VLOOKUP(E22, '⚙️ Configuración Costos'!$A$5:$B$10, 2, FALSE), 0))</f>
        <v/>
      </c>
      <c r="P22" s="11">
        <f>IF(E22="HERRAJE", A22*O22, M22*O22)</f>
        <v/>
      </c>
      <c r="Q22" s="11">
        <f>IF(E22="HERRAJE", 0, IFERROR(VLOOKUP(E22, '⚙️ Configuración Costos'!$E$5:$F$10, 2, FALSE), 0))</f>
        <v/>
      </c>
      <c r="R22" s="11">
        <f>N22*Q22</f>
        <v/>
      </c>
      <c r="S22" s="11">
        <f>P22+R22</f>
        <v/>
      </c>
    </row>
    <row r="23" ht="20" customHeight="1">
      <c r="A23" s="19" t="n">
        <v>4</v>
      </c>
      <c r="B23" s="20" t="n">
        <v>175</v>
      </c>
      <c r="C23" s="20" t="n">
        <v>496</v>
      </c>
      <c r="D23" s="10" t="inlineStr">
        <is>
          <t>Frente de Cajón</t>
        </is>
      </c>
      <c r="E23" s="19" t="inlineStr">
        <is>
          <t>MADERADO FRENTE</t>
        </is>
      </c>
      <c r="F23" s="19" t="n">
        <v>1</v>
      </c>
      <c r="G23" s="19" t="n">
        <v>1</v>
      </c>
      <c r="H23" s="19" t="n">
        <v>1</v>
      </c>
      <c r="I23" s="19" t="n">
        <v>1</v>
      </c>
      <c r="J23" s="19" t="n">
        <v>1</v>
      </c>
      <c r="K23" s="21" t="inlineStr">
        <is>
          <t>MOD-CAJ-01</t>
        </is>
      </c>
      <c r="L23" s="21" t="inlineStr">
        <is>
          <t>MOD-CAJ-01-P05</t>
        </is>
      </c>
      <c r="M23" s="22">
        <f>IF(AND(ISNUMBER(B23), B23&gt;0), (A23*B23*C23)/1000000, 0)</f>
        <v/>
      </c>
      <c r="N23" s="16">
        <f>IF(AND(ISNUMBER(B23), B23&gt;0), A23*(((G23+H23)*B23 + (I23+J23)*C23)/1000), 0)</f>
        <v/>
      </c>
      <c r="O23" s="11">
        <f>IF(E23="HERRAJE", IFERROR(VLOOKUP(D23, '⚙️ Configuración Costos'!$A$13:$B$30, 2, FALSE), 0), IFERROR(VLOOKUP(E23, '⚙️ Configuración Costos'!$A$5:$B$10, 2, FALSE), 0))</f>
        <v/>
      </c>
      <c r="P23" s="11">
        <f>IF(E23="HERRAJE", A23*O23, M23*O23)</f>
        <v/>
      </c>
      <c r="Q23" s="11">
        <f>IF(E23="HERRAJE", 0, IFERROR(VLOOKUP(E23, '⚙️ Configuración Costos'!$E$5:$F$10, 2, FALSE), 0))</f>
        <v/>
      </c>
      <c r="R23" s="11">
        <f>N23*Q23</f>
        <v/>
      </c>
      <c r="S23" s="11">
        <f>P23+R23</f>
        <v/>
      </c>
    </row>
    <row r="24" ht="20" customHeight="1">
      <c r="A24" s="19" t="n">
        <v>8</v>
      </c>
      <c r="B24" s="20" t="n">
        <v>500</v>
      </c>
      <c r="C24" s="20" t="n">
        <v>120</v>
      </c>
      <c r="D24" s="10" t="inlineStr">
        <is>
          <t>Lateral de Cajón</t>
        </is>
      </c>
      <c r="E24" s="19" t="inlineStr">
        <is>
          <t>ARAUCO BLANCO</t>
        </is>
      </c>
      <c r="F24" s="19" t="n">
        <v>0</v>
      </c>
      <c r="G24" s="19" t="n">
        <v>1</v>
      </c>
      <c r="H24" s="19" t="n">
        <v>0</v>
      </c>
      <c r="I24" s="19" t="n">
        <v>0</v>
      </c>
      <c r="J24" s="19" t="n">
        <v>0</v>
      </c>
      <c r="K24" s="21" t="inlineStr">
        <is>
          <t>MOD-CAJ-01</t>
        </is>
      </c>
      <c r="L24" s="21" t="inlineStr">
        <is>
          <t>MOD-CAJ-01-P06</t>
        </is>
      </c>
      <c r="M24" s="22">
        <f>IF(AND(ISNUMBER(B24), B24&gt;0), (A24*B24*C24)/1000000, 0)</f>
        <v/>
      </c>
      <c r="N24" s="16">
        <f>IF(AND(ISNUMBER(B24), B24&gt;0), A24*(((G24+H24)*B24 + (I24+J24)*C24)/1000), 0)</f>
        <v/>
      </c>
      <c r="O24" s="11">
        <f>IF(E24="HERRAJE", IFERROR(VLOOKUP(D24, '⚙️ Configuración Costos'!$A$13:$B$30, 2, FALSE), 0), IFERROR(VLOOKUP(E24, '⚙️ Configuración Costos'!$A$5:$B$10, 2, FALSE), 0))</f>
        <v/>
      </c>
      <c r="P24" s="11">
        <f>IF(E24="HERRAJE", A24*O24, M24*O24)</f>
        <v/>
      </c>
      <c r="Q24" s="11">
        <f>IF(E24="HERRAJE", 0, IFERROR(VLOOKUP(E24, '⚙️ Configuración Costos'!$E$5:$F$10, 2, FALSE), 0))</f>
        <v/>
      </c>
      <c r="R24" s="11">
        <f>N24*Q24</f>
        <v/>
      </c>
      <c r="S24" s="11">
        <f>P24+R24</f>
        <v/>
      </c>
    </row>
    <row r="25" ht="20" customHeight="1">
      <c r="A25" s="19" t="n">
        <v>4</v>
      </c>
      <c r="B25" s="20" t="n">
        <v>412</v>
      </c>
      <c r="C25" s="20" t="n">
        <v>120</v>
      </c>
      <c r="D25" s="10" t="inlineStr">
        <is>
          <t>Frente/Tras Cajón</t>
        </is>
      </c>
      <c r="E25" s="19" t="inlineStr">
        <is>
          <t>ARAUCO BLANCO</t>
        </is>
      </c>
      <c r="F25" s="19" t="n">
        <v>0</v>
      </c>
      <c r="G25" s="19" t="n">
        <v>1</v>
      </c>
      <c r="H25" s="19" t="n">
        <v>0</v>
      </c>
      <c r="I25" s="19" t="n">
        <v>0</v>
      </c>
      <c r="J25" s="19" t="n">
        <v>0</v>
      </c>
      <c r="K25" s="21" t="inlineStr">
        <is>
          <t>MOD-CAJ-01</t>
        </is>
      </c>
      <c r="L25" s="21" t="inlineStr">
        <is>
          <t>MOD-CAJ-01-P07</t>
        </is>
      </c>
      <c r="M25" s="22">
        <f>IF(AND(ISNUMBER(B25), B25&gt;0), (A25*B25*C25)/1000000, 0)</f>
        <v/>
      </c>
      <c r="N25" s="16">
        <f>IF(AND(ISNUMBER(B25), B25&gt;0), A25*(((G25+H25)*B25 + (I25+J25)*C25)/1000), 0)</f>
        <v/>
      </c>
      <c r="O25" s="11">
        <f>IF(E25="HERRAJE", IFERROR(VLOOKUP(D25, '⚙️ Configuración Costos'!$A$13:$B$30, 2, FALSE), 0), IFERROR(VLOOKUP(E25, '⚙️ Configuración Costos'!$A$5:$B$10, 2, FALSE), 0))</f>
        <v/>
      </c>
      <c r="P25" s="11">
        <f>IF(E25="HERRAJE", A25*O25, M25*O25)</f>
        <v/>
      </c>
      <c r="Q25" s="11">
        <f>IF(E25="HERRAJE", 0, IFERROR(VLOOKUP(E25, '⚙️ Configuración Costos'!$E$5:$F$10, 2, FALSE), 0))</f>
        <v/>
      </c>
      <c r="R25" s="11">
        <f>N25*Q25</f>
        <v/>
      </c>
      <c r="S25" s="11">
        <f>P25+R25</f>
        <v/>
      </c>
    </row>
    <row r="26" ht="20" customHeight="1">
      <c r="A26" s="19" t="n">
        <v>4</v>
      </c>
      <c r="B26" s="20" t="n">
        <v>500</v>
      </c>
      <c r="C26" s="20" t="n">
        <v>442</v>
      </c>
      <c r="D26" s="10" t="inlineStr">
        <is>
          <t>Fondo de Cajón (MDF)</t>
        </is>
      </c>
      <c r="E26" s="19" t="inlineStr">
        <is>
          <t>MDF 3MM</t>
        </is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  <c r="K26" s="21" t="inlineStr">
        <is>
          <t>MOD-CAJ-01</t>
        </is>
      </c>
      <c r="L26" s="21" t="inlineStr">
        <is>
          <t>MOD-CAJ-01-P08</t>
        </is>
      </c>
      <c r="M26" s="22">
        <f>IF(AND(ISNUMBER(B26), B26&gt;0), (A26*B26*C26)/1000000, 0)</f>
        <v/>
      </c>
      <c r="N26" s="16">
        <f>IF(AND(ISNUMBER(B26), B26&gt;0), A26*(((G26+H26)*B26 + (I26+J26)*C26)/1000), 0)</f>
        <v/>
      </c>
      <c r="O26" s="11">
        <f>IF(E26="HERRAJE", IFERROR(VLOOKUP(D26, '⚙️ Configuración Costos'!$A$13:$B$30, 2, FALSE), 0), IFERROR(VLOOKUP(E26, '⚙️ Configuración Costos'!$A$5:$B$10, 2, FALSE), 0))</f>
        <v/>
      </c>
      <c r="P26" s="11">
        <f>IF(E26="HERRAJE", A26*O26, M26*O26)</f>
        <v/>
      </c>
      <c r="Q26" s="11">
        <f>IF(E26="HERRAJE", 0, IFERROR(VLOOKUP(E26, '⚙️ Configuración Costos'!$E$5:$F$10, 2, FALSE), 0))</f>
        <v/>
      </c>
      <c r="R26" s="11">
        <f>N26*Q26</f>
        <v/>
      </c>
      <c r="S26" s="11">
        <f>P26+R26</f>
        <v/>
      </c>
    </row>
    <row r="27" ht="20" customHeight="1">
      <c r="A27" s="19" t="n">
        <v>4</v>
      </c>
      <c r="B27" s="20" t="n">
        <v>0</v>
      </c>
      <c r="C27" s="20" t="n">
        <v>0</v>
      </c>
      <c r="D27" s="10" t="inlineStr">
        <is>
          <t>Corredera Telescópica 500mm</t>
        </is>
      </c>
      <c r="E27" s="19" t="inlineStr">
        <is>
          <t>HERRAJE</t>
        </is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21" t="inlineStr">
        <is>
          <t>MOD-CAJ-01</t>
        </is>
      </c>
      <c r="L27" s="21" t="inlineStr">
        <is>
          <t>MOD-CAJ-01-H01</t>
        </is>
      </c>
      <c r="M27" s="22">
        <f>IF(AND(ISNUMBER(B27), B27&gt;0), (A27*B27*C27)/1000000, 0)</f>
        <v/>
      </c>
      <c r="N27" s="16">
        <f>IF(AND(ISNUMBER(B27), B27&gt;0), A27*(((G27+H27)*B27 + (I27+J27)*C27)/1000), 0)</f>
        <v/>
      </c>
      <c r="O27" s="11">
        <f>IF(E27="HERRAJE", IFERROR(VLOOKUP(D27, '⚙️ Configuración Costos'!$A$13:$B$30, 2, FALSE), 0), IFERROR(VLOOKUP(E27, '⚙️ Configuración Costos'!$A$5:$B$10, 2, FALSE), 0))</f>
        <v/>
      </c>
      <c r="P27" s="11">
        <f>IF(E27="HERRAJE", A27*O27, M27*O27)</f>
        <v/>
      </c>
      <c r="Q27" s="11">
        <f>IF(E27="HERRAJE", 0, IFERROR(VLOOKUP(E27, '⚙️ Configuración Costos'!$E$5:$F$10, 2, FALSE), 0))</f>
        <v/>
      </c>
      <c r="R27" s="11">
        <f>N27*Q27</f>
        <v/>
      </c>
      <c r="S27" s="11">
        <f>P27+R27</f>
        <v/>
      </c>
    </row>
    <row r="28" ht="20" customHeight="1">
      <c r="A28" s="19" t="n">
        <v>4</v>
      </c>
      <c r="B28" s="20" t="n">
        <v>0</v>
      </c>
      <c r="C28" s="20" t="n">
        <v>0</v>
      </c>
      <c r="D28" s="10" t="inlineStr">
        <is>
          <t>Jaladera Acero Inox</t>
        </is>
      </c>
      <c r="E28" s="19" t="inlineStr">
        <is>
          <t>HERRAJE</t>
        </is>
      </c>
      <c r="F28" s="19" t="n">
        <v>0</v>
      </c>
      <c r="G28" s="19" t="n">
        <v>0</v>
      </c>
      <c r="H28" s="19" t="n">
        <v>0</v>
      </c>
      <c r="I28" s="19" t="n">
        <v>0</v>
      </c>
      <c r="J28" s="19" t="n">
        <v>0</v>
      </c>
      <c r="K28" s="21" t="inlineStr">
        <is>
          <t>MOD-CAJ-01</t>
        </is>
      </c>
      <c r="L28" s="21" t="inlineStr">
        <is>
          <t>MOD-CAJ-01-H02</t>
        </is>
      </c>
      <c r="M28" s="22">
        <f>IF(AND(ISNUMBER(B28), B28&gt;0), (A28*B28*C28)/1000000, 0)</f>
        <v/>
      </c>
      <c r="N28" s="16">
        <f>IF(AND(ISNUMBER(B28), B28&gt;0), A28*(((G28+H28)*B28 + (I28+J28)*C28)/1000), 0)</f>
        <v/>
      </c>
      <c r="O28" s="11">
        <f>IF(E28="HERRAJE", IFERROR(VLOOKUP(D28, '⚙️ Configuración Costos'!$A$13:$B$30, 2, FALSE), 0), IFERROR(VLOOKUP(E28, '⚙️ Configuración Costos'!$A$5:$B$10, 2, FALSE), 0))</f>
        <v/>
      </c>
      <c r="P28" s="11">
        <f>IF(E28="HERRAJE", A28*O28, M28*O28)</f>
        <v/>
      </c>
      <c r="Q28" s="11">
        <f>IF(E28="HERRAJE", 0, IFERROR(VLOOKUP(E28, '⚙️ Configuración Costos'!$E$5:$F$10, 2, FALSE), 0))</f>
        <v/>
      </c>
      <c r="R28" s="11">
        <f>N28*Q28</f>
        <v/>
      </c>
      <c r="S28" s="11">
        <f>P28+R28</f>
        <v/>
      </c>
    </row>
    <row r="29" ht="20" customHeight="1">
      <c r="A29" s="19" t="n">
        <v>4</v>
      </c>
      <c r="B29" s="20" t="n">
        <v>0</v>
      </c>
      <c r="C29" s="20" t="n">
        <v>0</v>
      </c>
      <c r="D29" s="10" t="inlineStr">
        <is>
          <t>Pata Regulable Plastica</t>
        </is>
      </c>
      <c r="E29" s="19" t="inlineStr">
        <is>
          <t>HERRAJE</t>
        </is>
      </c>
      <c r="F29" s="19" t="n">
        <v>0</v>
      </c>
      <c r="G29" s="19" t="n">
        <v>0</v>
      </c>
      <c r="H29" s="19" t="n">
        <v>0</v>
      </c>
      <c r="I29" s="19" t="n">
        <v>0</v>
      </c>
      <c r="J29" s="19" t="n">
        <v>0</v>
      </c>
      <c r="K29" s="21" t="inlineStr">
        <is>
          <t>MOD-CAJ-01</t>
        </is>
      </c>
      <c r="L29" s="21" t="inlineStr">
        <is>
          <t>MOD-CAJ-01-H03</t>
        </is>
      </c>
      <c r="M29" s="22">
        <f>IF(AND(ISNUMBER(B29), B29&gt;0), (A29*B29*C29)/1000000, 0)</f>
        <v/>
      </c>
      <c r="N29" s="16">
        <f>IF(AND(ISNUMBER(B29), B29&gt;0), A29*(((G29+H29)*B29 + (I29+J29)*C29)/1000), 0)</f>
        <v/>
      </c>
      <c r="O29" s="11">
        <f>IF(E29="HERRAJE", IFERROR(VLOOKUP(D29, '⚙️ Configuración Costos'!$A$13:$B$30, 2, FALSE), 0), IFERROR(VLOOKUP(E29, '⚙️ Configuración Costos'!$A$5:$B$10, 2, FALSE), 0))</f>
        <v/>
      </c>
      <c r="P29" s="11">
        <f>IF(E29="HERRAJE", A29*O29, M29*O29)</f>
        <v/>
      </c>
      <c r="Q29" s="11">
        <f>IF(E29="HERRAJE", 0, IFERROR(VLOOKUP(E29, '⚙️ Configuración Costos'!$E$5:$F$10, 2, FALSE), 0))</f>
        <v/>
      </c>
      <c r="R29" s="11">
        <f>N29*Q29</f>
        <v/>
      </c>
      <c r="S29" s="11">
        <f>P29+R29</f>
        <v/>
      </c>
    </row>
    <row r="30" ht="20" customHeight="1">
      <c r="A30" s="19" t="n">
        <v>60</v>
      </c>
      <c r="B30" s="20" t="n">
        <v>0</v>
      </c>
      <c r="C30" s="20" t="n">
        <v>0</v>
      </c>
      <c r="D30" s="10" t="inlineStr">
        <is>
          <t>Tornillo 4x50 mm</t>
        </is>
      </c>
      <c r="E30" s="19" t="inlineStr">
        <is>
          <t>HERRAJE</t>
        </is>
      </c>
      <c r="F30" s="19" t="n">
        <v>0</v>
      </c>
      <c r="G30" s="19" t="n">
        <v>0</v>
      </c>
      <c r="H30" s="19" t="n">
        <v>0</v>
      </c>
      <c r="I30" s="19" t="n">
        <v>0</v>
      </c>
      <c r="J30" s="19" t="n">
        <v>0</v>
      </c>
      <c r="K30" s="21" t="inlineStr">
        <is>
          <t>MOD-CAJ-01</t>
        </is>
      </c>
      <c r="L30" s="21" t="inlineStr">
        <is>
          <t>MOD-CAJ-01-H04</t>
        </is>
      </c>
      <c r="M30" s="22">
        <f>IF(AND(ISNUMBER(B30), B30&gt;0), (A30*B30*C30)/1000000, 0)</f>
        <v/>
      </c>
      <c r="N30" s="16">
        <f>IF(AND(ISNUMBER(B30), B30&gt;0), A30*(((G30+H30)*B30 + (I30+J30)*C30)/1000), 0)</f>
        <v/>
      </c>
      <c r="O30" s="11">
        <f>IF(E30="HERRAJE", IFERROR(VLOOKUP(D30, '⚙️ Configuración Costos'!$A$13:$B$30, 2, FALSE), 0), IFERROR(VLOOKUP(E30, '⚙️ Configuración Costos'!$A$5:$B$10, 2, FALSE), 0))</f>
        <v/>
      </c>
      <c r="P30" s="11">
        <f>IF(E30="HERRAJE", A30*O30, M30*O30)</f>
        <v/>
      </c>
      <c r="Q30" s="11">
        <f>IF(E30="HERRAJE", 0, IFERROR(VLOOKUP(E30, '⚙️ Configuración Costos'!$E$5:$F$10, 2, FALSE), 0))</f>
        <v/>
      </c>
      <c r="R30" s="11">
        <f>N30*Q30</f>
        <v/>
      </c>
      <c r="S30" s="11">
        <f>P30+R30</f>
        <v/>
      </c>
    </row>
    <row r="31">
      <c r="A31" s="23" t="n"/>
      <c r="B31" s="23" t="n"/>
      <c r="C31" s="23" t="n"/>
      <c r="D31" s="23" t="inlineStr">
        <is>
          <t>TOTAL DEL CATÁLOGO / PROYECTO</t>
        </is>
      </c>
      <c r="E31" s="23" t="n"/>
      <c r="F31" s="23" t="n"/>
      <c r="G31" s="23" t="n"/>
      <c r="H31" s="23" t="n"/>
      <c r="I31" s="23" t="n"/>
      <c r="J31" s="23" t="n"/>
      <c r="K31" s="23" t="n"/>
      <c r="L31" s="23" t="n"/>
      <c r="M31" s="24" t="n"/>
      <c r="N31" s="24" t="n"/>
      <c r="O31" s="24" t="n"/>
      <c r="P31" s="25">
        <f>SUM(P4:P30)</f>
        <v/>
      </c>
      <c r="Q31" s="24" t="n"/>
      <c r="R31" s="25">
        <f>SUM(R4:R30)</f>
        <v/>
      </c>
      <c r="S31" s="25">
        <f>SUM(S4:S30)</f>
        <v/>
      </c>
    </row>
  </sheetData>
  <mergeCells count="2">
    <mergeCell ref="A4:S4"/>
    <mergeCell ref="A18:S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23" customWidth="1" min="2" max="2"/>
    <col width="47" customWidth="1" min="3" max="3"/>
    <col width="11" customWidth="1" min="4" max="4"/>
    <col width="36" customWidth="1" min="5" max="5"/>
    <col width="21" customWidth="1" min="6" max="6"/>
    <col width="26" customWidth="1" min="7" max="7"/>
  </cols>
  <sheetData>
    <row r="1" ht="30" customHeight="1">
      <c r="A1" s="1" t="inlineStr">
        <is>
          <t>CONFIGURACIÓN DE COSTOS DE MATERIALES Y HERRAJES</t>
        </is>
      </c>
    </row>
    <row r="2"/>
    <row r="3">
      <c r="A3" s="8" t="inlineStr">
        <is>
          <t>Tableros (Costo por M²)</t>
        </is>
      </c>
      <c r="E3" s="8" t="inlineStr">
        <is>
          <t>Cintillas / Cantos (Costo por ML)</t>
        </is>
      </c>
    </row>
    <row r="4">
      <c r="A4" s="9" t="inlineStr">
        <is>
          <t>Materia Prima</t>
        </is>
      </c>
      <c r="B4" s="9" t="inlineStr">
        <is>
          <t>Costo por M² (MXN)</t>
        </is>
      </c>
      <c r="C4" s="9" t="inlineStr">
        <is>
          <t>Descripción / Notas</t>
        </is>
      </c>
      <c r="E4" s="9" t="inlineStr">
        <is>
          <t>Materia Prima</t>
        </is>
      </c>
      <c r="F4" s="9" t="inlineStr">
        <is>
          <t>Costo por ML (MXN)</t>
        </is>
      </c>
      <c r="G4" s="9" t="inlineStr">
        <is>
          <t>Espesor / Tipo</t>
        </is>
      </c>
    </row>
    <row r="5">
      <c r="A5" s="10" t="inlineStr">
        <is>
          <t>ARAUCO BLANCO</t>
        </is>
      </c>
      <c r="B5" s="11" t="n">
        <v>160</v>
      </c>
      <c r="C5" s="10" t="inlineStr">
        <is>
          <t>Melamina blanca estándar 15/18mm</t>
        </is>
      </c>
      <c r="E5" s="10" t="inlineStr">
        <is>
          <t>ARAUCO BLANCO</t>
        </is>
      </c>
      <c r="F5" s="11" t="n">
        <v>12</v>
      </c>
      <c r="G5" s="10" t="inlineStr">
        <is>
          <t>Canto PVC delgado 0.5mm</t>
        </is>
      </c>
    </row>
    <row r="6">
      <c r="A6" s="10" t="inlineStr">
        <is>
          <t>MADERADO FRENTE</t>
        </is>
      </c>
      <c r="B6" s="11" t="n">
        <v>290</v>
      </c>
      <c r="C6" s="10" t="inlineStr">
        <is>
          <t>Melamina texturizada premium para frentes</t>
        </is>
      </c>
      <c r="E6" s="10" t="inlineStr">
        <is>
          <t>MADERADO FRENTE</t>
        </is>
      </c>
      <c r="F6" s="11" t="n">
        <v>25</v>
      </c>
      <c r="G6" s="10" t="inlineStr">
        <is>
          <t>Canto PVC grueso 2mm</t>
        </is>
      </c>
    </row>
    <row r="7">
      <c r="A7" s="10" t="inlineStr">
        <is>
          <t>MDF 3MM</t>
        </is>
      </c>
      <c r="B7" s="11" t="n">
        <v>75</v>
      </c>
      <c r="C7" s="10" t="inlineStr">
        <is>
          <t>Fondo de cajones y respaldos delgados</t>
        </is>
      </c>
      <c r="E7" s="10" t="inlineStr">
        <is>
          <t>MDF 3MM</t>
        </is>
      </c>
      <c r="F7" s="11" t="n">
        <v>0</v>
      </c>
      <c r="G7" s="10" t="inlineStr">
        <is>
          <t>Sin canto</t>
        </is>
      </c>
    </row>
    <row r="8">
      <c r="A8" s="10" t="inlineStr">
        <is>
          <t>HERRAJE</t>
        </is>
      </c>
      <c r="B8" s="11" t="n">
        <v>0</v>
      </c>
      <c r="C8" s="10" t="inlineStr">
        <is>
          <t>Comodín para fila de herrajes (No modificar)</t>
        </is>
      </c>
      <c r="E8" s="10" t="inlineStr">
        <is>
          <t>HERRAJE</t>
        </is>
      </c>
      <c r="F8" s="11" t="n">
        <v>0</v>
      </c>
      <c r="G8" s="10" t="inlineStr">
        <is>
          <t>Sin canto</t>
        </is>
      </c>
    </row>
    <row r="9"/>
    <row r="10"/>
    <row r="11">
      <c r="A11" s="8" t="inlineStr">
        <is>
          <t>Herrajes y Accesorios (Costo por Unidad)</t>
        </is>
      </c>
    </row>
    <row r="12">
      <c r="A12" s="9" t="inlineStr">
        <is>
          <t>Descripción del Herraje</t>
        </is>
      </c>
      <c r="B12" s="9" t="inlineStr">
        <is>
          <t>Costo Unitario (MXN)</t>
        </is>
      </c>
      <c r="C12" s="9" t="inlineStr">
        <is>
          <t>Unidad de Medida</t>
        </is>
      </c>
    </row>
    <row r="13">
      <c r="A13" s="10" t="inlineStr">
        <is>
          <t>Bisagra Cierre Lento</t>
        </is>
      </c>
      <c r="B13" s="11" t="n">
        <v>35</v>
      </c>
      <c r="C13" s="10" t="inlineStr">
        <is>
          <t>Pieza</t>
        </is>
      </c>
    </row>
    <row r="14">
      <c r="A14" s="10" t="inlineStr">
        <is>
          <t>Jaladera Acero Inox</t>
        </is>
      </c>
      <c r="B14" s="11" t="n">
        <v>45</v>
      </c>
      <c r="C14" s="10" t="inlineStr">
        <is>
          <t>Pieza</t>
        </is>
      </c>
    </row>
    <row r="15">
      <c r="A15" s="10" t="inlineStr">
        <is>
          <t>Pata Regulable Plastica</t>
        </is>
      </c>
      <c r="B15" s="11" t="n">
        <v>15</v>
      </c>
      <c r="C15" s="10" t="inlineStr">
        <is>
          <t>Pieza</t>
        </is>
      </c>
    </row>
    <row r="16">
      <c r="A16" s="10" t="inlineStr">
        <is>
          <t>Tornillo 4x50 mm</t>
        </is>
      </c>
      <c r="B16" s="11" t="n">
        <v>0.5</v>
      </c>
      <c r="C16" s="10" t="inlineStr">
        <is>
          <t>Pieza</t>
        </is>
      </c>
    </row>
    <row r="17">
      <c r="A17" s="10" t="inlineStr">
        <is>
          <t>Corredera Telescópica 500mm</t>
        </is>
      </c>
      <c r="B17" s="11" t="n">
        <v>120</v>
      </c>
      <c r="C17" s="10" t="inlineStr">
        <is>
          <t>Juego</t>
        </is>
      </c>
    </row>
    <row r="18">
      <c r="A18" s="10" t="inlineStr">
        <is>
          <t>Soporte de Entrepaño</t>
        </is>
      </c>
      <c r="B18" s="11" t="n">
        <v>2</v>
      </c>
      <c r="C18" s="10" t="inlineStr">
        <is>
          <t>Pieza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2026-07-15T15:52:02Z</dcterms:created>
  <dcterms:modified xmlns:dcterms="http://purl.org/dc/terms/" xmlns:xsi="http://www.w3.org/2001/XMLSchema-instance" xsi:type="dcterms:W3CDTF">2026-07-15T15:52:02Z</dcterms:modified>
</cp:coreProperties>
</file>